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5b1e46ed81b4f36/USF/Advisor/Projects/wealth-mgmt-onboarding-ai-assessment/deliverables/"/>
    </mc:Choice>
  </mc:AlternateContent>
  <xr:revisionPtr revIDLastSave="8" documentId="11_529EB5DC853A46E886BDA23EF30D3E306FCDABF5" xr6:coauthVersionLast="47" xr6:coauthVersionMax="47" xr10:uidLastSave="{C44860C5-AF03-497F-B342-2205BA64D9E0}"/>
  <bookViews>
    <workbookView xWindow="-22410" yWindow="870" windowWidth="20880" windowHeight="12930" xr2:uid="{00000000-000D-0000-FFFF-FFFF00000000}"/>
  </bookViews>
  <sheets>
    <sheet name="Scored Matrix" sheetId="1" r:id="rId1"/>
    <sheet name="Anchor Rubric" sheetId="2" r:id="rId2"/>
    <sheet name="Score Rationa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1" l="1"/>
  <c r="I12" i="1" s="1"/>
  <c r="H11" i="1"/>
  <c r="I11" i="1" s="1"/>
  <c r="H10" i="1"/>
  <c r="I10" i="1" s="1"/>
  <c r="H9" i="1"/>
  <c r="I9" i="1" s="1"/>
  <c r="H8" i="1"/>
  <c r="I8" i="1" s="1"/>
  <c r="H7" i="1"/>
  <c r="I7" i="1" s="1"/>
  <c r="H6" i="1"/>
  <c r="I6" i="1" s="1"/>
</calcChain>
</file>

<file path=xl/sharedStrings.xml><?xml version="1.0" encoding="utf-8"?>
<sst xmlns="http://schemas.openxmlformats.org/spreadsheetml/2006/main" count="174" uniqueCount="115">
  <si>
    <t>AI Opportunity Matrix - Wealth Management Onboarding</t>
  </si>
  <si>
    <t>Scores (1-5) against the Anchor Rubric tab. Composite = weighted sum via SUMPRODUCT</t>
  </si>
  <si>
    <t xml:space="preserve">Tier is formula-driven. Final Tier allows a manual override with supporting documentation </t>
  </si>
  <si>
    <t>Weights</t>
  </si>
  <si>
    <t>Process Step</t>
  </si>
  <si>
    <t>Owner</t>
  </si>
  <si>
    <t xml:space="preserve">Automation Feasibility </t>
  </si>
  <si>
    <t xml:space="preserve">Data Availability </t>
  </si>
  <si>
    <t xml:space="preserve">Time &amp; Volume Benchmarks </t>
  </si>
  <si>
    <t xml:space="preserve">Process Friction / Failure Exposure </t>
  </si>
  <si>
    <t xml:space="preserve">Risk Level Inverse </t>
  </si>
  <si>
    <t>Composite Score</t>
  </si>
  <si>
    <t xml:space="preserve">Tier </t>
  </si>
  <si>
    <t>Final Tier Override</t>
  </si>
  <si>
    <t>Override Rationale</t>
  </si>
  <si>
    <t>1. Prospect Discovery</t>
  </si>
  <si>
    <t>Advisor</t>
  </si>
  <si>
    <t>Low Priority</t>
  </si>
  <si>
    <t>2. KYC / AML Verification</t>
  </si>
  <si>
    <t>Compliance / Operations</t>
  </si>
  <si>
    <t>Near-Term</t>
  </si>
  <si>
    <t>3. Suitability Assessment</t>
  </si>
  <si>
    <t>Advisor / Client</t>
  </si>
  <si>
    <t>4. Account Setup / Docs</t>
  </si>
  <si>
    <t>Operations</t>
  </si>
  <si>
    <t>5. IPS &amp; Portfolio Mandate</t>
  </si>
  <si>
    <t>6. Portfolio Construction</t>
  </si>
  <si>
    <t>Composite formula lands in Near-Term range, but manually downgraded: automating the investment decision itself risks Reg BI / Investment Advisers Act fiduciary-duty violations. Automation is limited to trade execution mechanics, not the recommendation.</t>
  </si>
  <si>
    <t>7. Welcome &amp; Service Setup</t>
  </si>
  <si>
    <t>Client Success / Operations</t>
  </si>
  <si>
    <t>Quick Win</t>
  </si>
  <si>
    <t>Tier thresholds: Composite ≥ 4.00 - Quick Win,  3.00–3.99 - Near-Term,  &lt; 3.00 - Low Priority</t>
  </si>
  <si>
    <t>AI Opportunity Scoring - Anchor Rubric</t>
  </si>
  <si>
    <t xml:space="preserve">All process steps are scored against each rubric dimension </t>
  </si>
  <si>
    <t>How rule-based, repetitive, and structured is the task? High = AI can replace manual effort.</t>
  </si>
  <si>
    <t>Weight</t>
  </si>
  <si>
    <t>Score</t>
  </si>
  <si>
    <t>Anchor Description</t>
  </si>
  <si>
    <t>Entirely judgment-based; no part of it can be codified into rules</t>
  </si>
  <si>
    <t>Mostly judgment, with a small structured sub-task</t>
  </si>
  <si>
    <t>Roughly half rule-based, half requires human interpretation</t>
  </si>
  <si>
    <t>Mostly rule-based; exceptions get flagged for review</t>
  </si>
  <si>
    <t>Fully deterministic, repetitive, no interpretation needed</t>
  </si>
  <si>
    <t>Is the input data already structured and machine-readable? High = AI has what it needs.</t>
  </si>
  <si>
    <t>Must be gathered fresh, unstructured (e.g. spoken conversation)</t>
  </si>
  <si>
    <t>Small amount structured, most still manual</t>
  </si>
  <si>
    <t>Roughly half already on file, half needs new collection</t>
  </si>
  <si>
    <t>Most inputs already exist in a system, minor manual entry</t>
  </si>
  <si>
    <t>Everything needed is already structured, nothing new to collect</t>
  </si>
  <si>
    <t>How many clients/events per month? High volume = higher AI ROI.</t>
  </si>
  <si>
    <t>Rare, subset of clients only</t>
  </si>
  <si>
    <t>Most but not every client, low frequency</t>
  </si>
  <si>
    <t>\</t>
  </si>
  <si>
    <t>Every client, once</t>
  </si>
  <si>
    <t>Every client, plus periodic recurrence (e.g. annual)</t>
  </si>
  <si>
    <t>Every client, high/continuous frequency</t>
  </si>
  <si>
    <t>How much delay, hand-off, or back-and-forth does this step generate before it is completed right? High friction/failure = strong AI value.</t>
  </si>
  <si>
    <t>Flows through in a single pass; no delays, hand-offs, or corrections needed</t>
  </si>
  <si>
    <t xml:space="preserve"> Minor friction; an occasional short delay or single hand-off, rarely reworked</t>
  </si>
  <si>
    <t xml:space="preserve"> Moderate friction; recurring hand-offs or back-and-forth slow the step down</t>
  </si>
  <si>
    <t xml:space="preserve"> Frequently stalls or bounces between people/systems; rework is common (documented industry rate)</t>
  </si>
  <si>
    <t xml:space="preserve"> Systemic bottleneck; chronic delays and hand-offs with a high documented failure/rework rate</t>
  </si>
  <si>
    <t>Risk Level (Inverse)</t>
  </si>
  <si>
    <t xml:space="preserve">Lower regulatory risk = higher score. </t>
  </si>
  <si>
    <t>Automating the decision itself risks violating Reg BI/fiduciary duty</t>
  </si>
  <si>
    <t>Meaningful regulatory exposure; human sign-off mandatory</t>
  </si>
  <si>
    <t>Process/documentation risk, not a fiduciary determination</t>
  </si>
  <si>
    <t>Low risk, operational consequence only</t>
  </si>
  <si>
    <t>No regulatory or fiduciary exposure at all</t>
  </si>
  <si>
    <t>AI Opportunity Matrix - Score Rationale</t>
  </si>
  <si>
    <t>Supporting notes for each score in the Scored Matrix. The goal is to show why each rating fits the Anchor Rubric and the onboarding process.</t>
  </si>
  <si>
    <t>Dimension</t>
  </si>
  <si>
    <t>Rationale</t>
  </si>
  <si>
    <t>1. Prospect Discovery</t>
  </si>
  <si>
    <t>Automation Feasibility</t>
  </si>
  <si>
    <t>Parts of discovery can be standardized, such as scheduling, intake forms, and basic data capture. The actual conversation still depends heavily on the advisor asking follow-up questions and interpreting the client's goals, concerns, and financial situation.</t>
  </si>
  <si>
    <t>Data Availability</t>
  </si>
  <si>
    <t>Most of the useful information is created during the conversation and starts out as notes or spoken responses. Basic lead information may already be in the CRM, but the deeper financial and personal context still has to be collected.</t>
  </si>
  <si>
    <t>Time &amp; Volume Benchmarks</t>
  </si>
  <si>
    <t>Discovery happens with every serious prospect and similar conversations continue during later client reviews. That gives it strong volume, although it is not a constant or high-frequency activity.</t>
  </si>
  <si>
    <t>Process Friction / Failure Exposure</t>
  </si>
  <si>
    <t>This step is usually one conversation rather than a long chain of handoffs. There can be follow-up when something is missed, but discovery itself is not one of the main onboarding bottlenecks.</t>
  </si>
  <si>
    <t>Risk Level (inverse)</t>
  </si>
  <si>
    <t>Discovery is mainly information gathering and relationship building, not the point where an investment decision is made. There is still some risk because incomplete or poorly documented information can cause issues later in suitability and account setup.</t>
  </si>
  <si>
    <t>Identity checks, document verification, and screening against OFAC, PEP, and similar lists are highly rules-based and already supported by established tools. Human review is still needed when a record is flagged or the information does not match.</t>
  </si>
  <si>
    <t>The required documents usually have to be collected from the client during onboarding. IDs, proof of address, and related files are often images or PDFs first, so the data is not fully structured when the step begins.</t>
  </si>
  <si>
    <t>Every new client has to complete KYC and AML checks, but the main verification is concentrated at onboarding. Later screening can happen again, but it is generally event-driven rather than a frequent scheduled task.</t>
  </si>
  <si>
    <t>Missing documents, mismatched information, and compliance flags can send this step back to the client, operations, or compliance. That makes it a common source of delay and rework during onboarding.</t>
  </si>
  <si>
    <t>The checks themselves can be automated, but flagged results can lead to a real compliance decision and require human review. The exposure is meaningful, although it is still lower than making an actual investment recommendation.</t>
  </si>
  <si>
    <t>Questionnaire scoring and completeness checks can be automated fairly well. The advisor still has to interpret the client's full situation and decide whether a recommendation is suitable, so the work is only partly rules-based.</t>
  </si>
  <si>
    <t>Some information should already be available from discovery and KYC, but current goals, risk tolerance, and changes in the client's situation may still need to be collected or confirmed. The data is a mix of existing records and new input.</t>
  </si>
  <si>
    <t>Suitability is required for every new client and has to be revisited when circumstances or recommendations change. That gives the step recurring value beyond the initial onboarding process.</t>
  </si>
  <si>
    <t>The advisor may need to go back to the client for missing information or respond to compliance questions about the documentation. There is real rework here, but it is usually less severe than the paperwork problems seen in account setup.</t>
  </si>
  <si>
    <t>This step directly supports regulated suitability and best-interest obligations. AI can help organize information and flag gaps, but the advisor still needs to own the final determination and sign-off.</t>
  </si>
  <si>
    <t>Standard account forms can be populated from information already collected and then routed for e-signature automatically. Exceptions such as unusual account types or missing beneficiary information still need manual handling.</t>
  </si>
  <si>
    <t>Most of the client information needed here should already be in the CRM or onboarding system from earlier steps. Only a smaller set of account-specific fields normally has to be added.</t>
  </si>
  <si>
    <t>Every client goes through account setup, but it is mainly a one-time onboarding activity for each account. That keeps the volume meaningful without putting it in the recurring category.</t>
  </si>
  <si>
    <t>This is one of the clearest sources of onboarding rework. Incomplete or incorrect paperwork can be rejected as not in good order and sent back for corrections, which can add several days to the process.</t>
  </si>
  <si>
    <t>Account documentation is governed by recordkeeping and supervisory requirements, but most errors are caught and corrected before the account is finalized. The main exposure is operational and documentation-related rather than an investment judgment.</t>
  </si>
  <si>
    <t>AI can draft or prefill a large part of an IPS from the information already collected. The advisor still needs to translate the client's goals, restrictions, and risk profile into the final mandate, so judgment remains important.</t>
  </si>
  <si>
    <t>Most of the information needed for the IPS should already exist after discovery and suitability. The step mainly pulls together previously collected data with a limited amount of new input.</t>
  </si>
  <si>
    <t>An IPS is created for each client, but it is usually updated only when there is a meaningful change in goals, risk, or circumstances. It is important, but not a high-frequency activity.</t>
  </si>
  <si>
    <t>Once the upstream information is complete, the IPS is generally drafted, reviewed, and approved without many handoffs. It does not appear to be a major source of onboarding delay on its own.</t>
  </si>
  <si>
    <t>The IPS helps document the client's investment mandate and supports later compliance decisions. It carries more risk than simple administrative work, but it is still one step removed from actually making or executing an investment recommendation.</t>
  </si>
  <si>
    <t>6. Portfolio Construction</t>
  </si>
  <si>
    <t>Model matching, allocation calculations, and trade preparation can be automated. Choosing and approving the actual portfolio recommendation still requires advisor judgment, which limits how far automation should go.</t>
  </si>
  <si>
    <t>By this point, the client's risk profile, IPS, account details, and most funding information should already be available. Only limited new information is normally needed before building and funding the portfolio.</t>
  </si>
  <si>
    <t>Every client needs an initial portfolio, and the portfolio is reviewed or rebalanced over time. That makes this step both universal at onboarding and recurring during the relationship.</t>
  </si>
  <si>
    <t>Funding, custodian processing, and allocation changes can create some back-and-forth between the advisor and operations. The friction is noticeable, but it is not as consistently problematic as account paperwork.</t>
  </si>
  <si>
    <t>This is the highest-risk step because the output is the investment recommendation itself. AI can support analysis and execution mechanics, but allowing it to independently make the recommendation would create significant Reg BI and fiduciary concerns. This is also why the final tier is manually kept at Low Priority.</t>
  </si>
  <si>
    <t>Welcome messages, CRM updates, task creation, and service workflows are repetitive and rules-based. These activities can usually be automated end to end with little interpretation.</t>
  </si>
  <si>
    <t>Nearly all of the client and account information needed for this step already exists by the time onboarding reaches service setup. Only preferences or a few service-specific settings may still need to be entered.</t>
  </si>
  <si>
    <t>The setup happens for every new client and many of the related service workflows continue throughout the relationship. That gives this step the strongest combination of volume and recurrence in the matrix.</t>
  </si>
  <si>
    <t>Most welcome and service tasks move through standard system workflows with limited back-and-forth. Errors can happen, but they are generally simple configuration or follow-up issues rather than major onboarding blockers.</t>
  </si>
  <si>
    <t>These activities still have privacy, recordkeeping, and data-handling requirements, but they do not involve a new suitability or investment decision. Compared with the rest of the process, this is the lowest-risk area for automation.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</si>
</sst>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ont>
    <font>
      <b/>
      <sz val="11"/>
      <color theme="1"/>
      <name val="Aptos Narrow"/>
    </font>
    <font>
      <b/>
      <sz val="12"/>
      <color theme="1"/>
      <name val="Aptos Narrow"/>
    </font>
    <font>
      <b/>
      <sz val="16"/>
      <color theme="1"/>
      <name val="Aptos Narrow"/>
    </font>
    <font>
      <b/>
      <sz val="15"/>
      <color theme="3"/>
      <name val="Aptos Narrow"/>
    </font>
    <font>
      <b/>
      <sz val="13"/>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name val="Aptos Narrow"/>
    </font>
    <font>
      <b/>
      <sz val="11"/>
      <color rgb="FF9C0006"/>
      <name val="Aptos Narrow"/>
    </font>
    <font>
      <b/>
      <sz val="11"/>
      <color rgb="FF9C5700"/>
      <name val="Aptos Narrow"/>
    </font>
    <font>
      <b/>
      <sz val="11"/>
      <color rgb="FF006100"/>
      <name val="Aptos Narrow"/>
    </font>
    <font>
      <b/>
      <sz val="16"/>
      <color rgb="FF17365D"/>
      <name val="Aptos Narrow"/>
    </font>
    <font>
      <sz val="11"/>
      <color rgb="FF222222"/>
      <name val="Aptos Narrow"/>
    </font>
    <font>
      <b/>
      <sz val="11"/>
      <color rgb="FF17365D"/>
      <name val="Aptos Narrow"/>
    </font>
    <font>
      <sz val="10"/>
      <color rgb="FF222222"/>
      <name val="Aptos Narrow"/>
    </font>
    <font>
      <b/>
      <sz val="10"/>
      <color rgb="FF222222"/>
      <name val="Aptos Narrow"/>
    </font>
    <font>
      <sz val="10"/>
      <color rgb="FF222222"/>
      <name val="Aptos Narrow"/>
    </font>
  </fonts>
  <fills count="12">
    <fill>
      <patternFill patternType="none"/>
    </fill>
    <fill>
      <patternFill patternType="gray125"/>
    </fill>
    <fill>
      <patternFill patternType="solid">
        <fgColor theme="3" tint="0.89996032593768116"/>
        <bgColor indexed="65"/>
      </patternFill>
    </fill>
    <fill>
      <patternFill patternType="solid">
        <fgColor theme="5" tint="0.79995117038483843"/>
        <bgColor indexed="65"/>
      </patternFill>
    </fill>
    <fill>
      <patternFill patternType="solid">
        <fgColor theme="2" tint="-9.9978637043366805E-2"/>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D9EAF7"/>
      </patternFill>
    </fill>
    <fill>
      <patternFill patternType="solid">
        <fgColor rgb="FFEDF4FB"/>
      </patternFill>
    </fill>
    <fill>
      <patternFill patternType="solid">
        <fgColor theme="3" tint="0.89999084444715716"/>
        <bgColor indexed="64"/>
      </patternFill>
    </fill>
  </fills>
  <borders count="7">
    <border>
      <left/>
      <right/>
      <top/>
      <bottom/>
      <diagonal/>
    </border>
    <border>
      <left/>
      <right/>
      <top/>
      <bottom style="thick">
        <color theme="4"/>
      </bottom>
      <diagonal/>
    </border>
    <border>
      <left/>
      <right/>
      <top/>
      <bottom style="thick">
        <color theme="4" tint="0.49995422223578601"/>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bottom/>
      <diagonal/>
    </border>
  </borders>
  <cellStyleXfs count="7">
    <xf numFmtId="0" fontId="0" fillId="0" borderId="0"/>
    <xf numFmtId="0" fontId="4" fillId="0" borderId="1" applyNumberFormat="0" applyFill="0" applyAlignment="0" applyProtection="0"/>
    <xf numFmtId="0" fontId="5" fillId="0" borderId="2" applyNumberFormat="0" applyFill="0" applyAlignment="0" applyProtection="0"/>
    <xf numFmtId="0" fontId="6" fillId="5" borderId="0" applyNumberFormat="0" applyBorder="0" applyAlignment="0" applyProtection="0"/>
    <xf numFmtId="0" fontId="7" fillId="6" borderId="0" applyNumberFormat="0" applyBorder="0" applyAlignment="0" applyProtection="0"/>
    <xf numFmtId="0" fontId="8" fillId="7" borderId="0" applyNumberFormat="0" applyBorder="0" applyAlignment="0" applyProtection="0"/>
    <xf numFmtId="0" fontId="9" fillId="8" borderId="3" applyNumberFormat="0" applyAlignment="0" applyProtection="0"/>
  </cellStyleXfs>
  <cellXfs count="39">
    <xf numFmtId="0" fontId="0" fillId="0" borderId="0" xfId="0"/>
    <xf numFmtId="0" fontId="0" fillId="0" borderId="0" xfId="0" applyAlignment="1">
      <alignment wrapText="1"/>
    </xf>
    <xf numFmtId="9" fontId="0" fillId="0" borderId="0" xfId="0" applyNumberFormat="1"/>
    <xf numFmtId="0" fontId="2" fillId="2" borderId="0" xfId="0" applyFont="1" applyFill="1" applyAlignment="1">
      <alignment wrapText="1"/>
    </xf>
    <xf numFmtId="0" fontId="1" fillId="2" borderId="0" xfId="0" applyFont="1" applyFill="1"/>
    <xf numFmtId="0" fontId="1" fillId="3" borderId="0" xfId="0" applyFont="1" applyFill="1" applyAlignment="1">
      <alignment wrapText="1"/>
    </xf>
    <xf numFmtId="9" fontId="1" fillId="3" borderId="0" xfId="0" applyNumberFormat="1" applyFont="1" applyFill="1" applyAlignment="1">
      <alignment horizontal="left"/>
    </xf>
    <xf numFmtId="0" fontId="1" fillId="4" borderId="0" xfId="0" applyFont="1" applyFill="1" applyAlignment="1">
      <alignment wrapText="1"/>
    </xf>
    <xf numFmtId="9" fontId="1" fillId="4" borderId="0" xfId="0" applyNumberFormat="1" applyFont="1" applyFill="1"/>
    <xf numFmtId="0" fontId="1" fillId="2" borderId="0" xfId="0" applyFont="1" applyFill="1" applyAlignment="1">
      <alignment wrapText="1"/>
    </xf>
    <xf numFmtId="0" fontId="1" fillId="0" borderId="0" xfId="0" applyFont="1"/>
    <xf numFmtId="0" fontId="10" fillId="2" borderId="0" xfId="0" applyFont="1" applyFill="1" applyAlignment="1">
      <alignment wrapText="1"/>
    </xf>
    <xf numFmtId="2" fontId="0" fillId="0" borderId="0" xfId="0" applyNumberFormat="1" applyAlignment="1">
      <alignment wrapText="1"/>
    </xf>
    <xf numFmtId="0" fontId="9" fillId="8" borderId="3" xfId="6"/>
    <xf numFmtId="9" fontId="9" fillId="8" borderId="3" xfId="6" applyNumberFormat="1" applyAlignment="1">
      <alignment wrapText="1"/>
    </xf>
    <xf numFmtId="0" fontId="5" fillId="0" borderId="2" xfId="2"/>
    <xf numFmtId="0" fontId="5" fillId="0" borderId="2" xfId="2" applyAlignment="1">
      <alignment wrapText="1"/>
    </xf>
    <xf numFmtId="0" fontId="1" fillId="0" borderId="0" xfId="0" applyFont="1" applyAlignment="1">
      <alignment wrapText="1"/>
    </xf>
    <xf numFmtId="0" fontId="11" fillId="6" borderId="0" xfId="4" applyFont="1"/>
    <xf numFmtId="0" fontId="12" fillId="7" borderId="0" xfId="5" applyFont="1"/>
    <xf numFmtId="0" fontId="13" fillId="5" borderId="0" xfId="3" applyFont="1"/>
    <xf numFmtId="0" fontId="16" fillId="9" borderId="4" xfId="0" applyFont="1" applyFill="1" applyBorder="1" applyAlignment="1">
      <alignment vertical="center"/>
    </xf>
    <xf numFmtId="0" fontId="17" fillId="0" borderId="0" xfId="0" applyFont="1" applyAlignment="1">
      <alignment vertical="top" wrapText="1"/>
    </xf>
    <xf numFmtId="0" fontId="18" fillId="0" borderId="0" xfId="0" applyFont="1" applyAlignment="1">
      <alignment vertical="top" wrapText="1"/>
    </xf>
    <xf numFmtId="0" fontId="19" fillId="0" borderId="0" xfId="0" applyFont="1" applyAlignment="1">
      <alignment vertical="top" wrapText="1"/>
    </xf>
    <xf numFmtId="0" fontId="17" fillId="0" borderId="0" xfId="0" applyFont="1" applyAlignment="1">
      <alignment horizontal="center" vertical="top" wrapText="1"/>
    </xf>
    <xf numFmtId="0" fontId="18" fillId="10" borderId="5" xfId="0" applyFont="1" applyFill="1" applyBorder="1" applyAlignment="1">
      <alignment vertical="top" wrapText="1"/>
    </xf>
    <xf numFmtId="0" fontId="19" fillId="10" borderId="5" xfId="0" applyFont="1" applyFill="1" applyBorder="1" applyAlignment="1">
      <alignment vertical="top" wrapText="1"/>
    </xf>
    <xf numFmtId="0" fontId="17" fillId="10" borderId="5" xfId="0" applyFont="1" applyFill="1" applyBorder="1" applyAlignment="1">
      <alignment horizontal="center" vertical="top" wrapText="1"/>
    </xf>
    <xf numFmtId="0" fontId="17" fillId="10" borderId="5" xfId="0" applyFont="1" applyFill="1" applyBorder="1" applyAlignment="1">
      <alignment vertical="top" wrapText="1"/>
    </xf>
    <xf numFmtId="0" fontId="18" fillId="0" borderId="6" xfId="0" applyFont="1" applyBorder="1" applyAlignment="1">
      <alignment vertical="top" wrapText="1"/>
    </xf>
    <xf numFmtId="0" fontId="19" fillId="0" borderId="6" xfId="0" applyFont="1" applyBorder="1" applyAlignment="1">
      <alignment vertical="top" wrapText="1"/>
    </xf>
    <xf numFmtId="0" fontId="17" fillId="0" borderId="6" xfId="0" applyFont="1" applyBorder="1" applyAlignment="1">
      <alignment horizontal="center" vertical="top" wrapText="1"/>
    </xf>
    <xf numFmtId="0" fontId="17" fillId="0" borderId="6" xfId="0" applyFont="1" applyBorder="1" applyAlignment="1">
      <alignment vertical="top" wrapText="1"/>
    </xf>
    <xf numFmtId="0" fontId="15" fillId="0" borderId="0" xfId="0" applyFont="1" applyAlignment="1">
      <alignment vertical="center" wrapText="1"/>
    </xf>
    <xf numFmtId="0" fontId="14" fillId="11" borderId="0" xfId="0" applyFont="1" applyFill="1" applyAlignment="1">
      <alignment vertical="center"/>
    </xf>
    <xf numFmtId="0" fontId="4" fillId="11" borderId="1" xfId="1" applyFill="1"/>
    <xf numFmtId="0" fontId="4" fillId="11" borderId="1" xfId="1" applyFill="1" applyAlignment="1">
      <alignment wrapText="1"/>
    </xf>
    <xf numFmtId="0" fontId="3" fillId="11" borderId="0" xfId="0" applyFont="1" applyFill="1"/>
  </cellXfs>
  <cellStyles count="7">
    <cellStyle name="Bad" xfId="4" xr:uid="{00000000-0005-0000-0000-000000000000}"/>
    <cellStyle name="Good" xfId="3" xr:uid="{00000000-0005-0000-0000-000001000000}"/>
    <cellStyle name="Heading 1" xfId="1" xr:uid="{00000000-0005-0000-0000-000002000000}"/>
    <cellStyle name="Heading 2" xfId="2" xr:uid="{00000000-0005-0000-0000-000003000000}"/>
    <cellStyle name="Input" xfId="6" xr:uid="{00000000-0005-0000-0000-000004000000}"/>
    <cellStyle name="Neutral" xfId="5" xr:uid="{00000000-0005-0000-0000-000005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
  <sheetViews>
    <sheetView tabSelected="1" workbookViewId="0">
      <selection activeCell="F17" sqref="F17"/>
    </sheetView>
  </sheetViews>
  <sheetFormatPr defaultRowHeight="14.5" x14ac:dyDescent="0.35"/>
  <cols>
    <col min="1" max="1" width="25.81640625" customWidth="1"/>
    <col min="2" max="2" width="23.90625" customWidth="1"/>
    <col min="3" max="4" width="12" style="1" customWidth="1"/>
    <col min="5" max="5" width="13.7265625" style="1" customWidth="1"/>
    <col min="6" max="6" width="14.08984375" style="1" customWidth="1"/>
    <col min="7" max="7" width="8.7265625" style="1"/>
    <col min="8" max="8" width="12" style="1" customWidth="1"/>
    <col min="9" max="9" width="10.6328125" style="1" customWidth="1"/>
    <col min="10" max="10" width="12" customWidth="1"/>
    <col min="11" max="11" width="63.7265625" customWidth="1"/>
  </cols>
  <sheetData>
    <row r="1" spans="1:11" ht="16.399999999999999" customHeight="1" x14ac:dyDescent="0.45">
      <c r="A1" s="36" t="s">
        <v>0</v>
      </c>
      <c r="B1" s="36"/>
      <c r="C1" s="37"/>
      <c r="D1" s="37"/>
      <c r="E1" s="37"/>
    </row>
    <row r="2" spans="1:11" x14ac:dyDescent="0.35">
      <c r="A2" t="s">
        <v>1</v>
      </c>
    </row>
    <row r="3" spans="1:11" x14ac:dyDescent="0.35">
      <c r="A3" t="s">
        <v>2</v>
      </c>
    </row>
    <row r="4" spans="1:11" x14ac:dyDescent="0.35">
      <c r="B4" s="13" t="s">
        <v>3</v>
      </c>
      <c r="C4" s="14">
        <v>0.3</v>
      </c>
      <c r="D4" s="14">
        <v>0.25</v>
      </c>
      <c r="E4" s="14">
        <v>0.2</v>
      </c>
      <c r="F4" s="14">
        <v>0.15</v>
      </c>
      <c r="G4" s="14">
        <v>0.1</v>
      </c>
    </row>
    <row r="5" spans="1:11" ht="68" x14ac:dyDescent="0.4">
      <c r="A5" s="15" t="s">
        <v>4</v>
      </c>
      <c r="B5" s="15" t="s">
        <v>5</v>
      </c>
      <c r="C5" s="16" t="s">
        <v>6</v>
      </c>
      <c r="D5" s="16" t="s">
        <v>7</v>
      </c>
      <c r="E5" s="16" t="s">
        <v>8</v>
      </c>
      <c r="F5" s="16" t="s">
        <v>9</v>
      </c>
      <c r="G5" s="16" t="s">
        <v>10</v>
      </c>
      <c r="H5" s="16" t="s">
        <v>11</v>
      </c>
      <c r="I5" s="16" t="s">
        <v>12</v>
      </c>
      <c r="J5" s="16" t="s">
        <v>13</v>
      </c>
      <c r="K5" s="16" t="s">
        <v>14</v>
      </c>
    </row>
    <row r="6" spans="1:11" x14ac:dyDescent="0.35">
      <c r="A6" s="10" t="s">
        <v>15</v>
      </c>
      <c r="B6" t="s">
        <v>16</v>
      </c>
      <c r="C6" s="17">
        <v>3</v>
      </c>
      <c r="D6" s="17">
        <v>2</v>
      </c>
      <c r="E6" s="17">
        <v>4</v>
      </c>
      <c r="F6" s="17">
        <v>2</v>
      </c>
      <c r="G6" s="17">
        <v>4</v>
      </c>
      <c r="H6" s="12">
        <f>SUMPRODUCT($C$4:$G$4,C6:G6)</f>
        <v>2.9</v>
      </c>
      <c r="I6" s="1" t="str">
        <f>IF(H6&gt;=4, "Quick Win", IF(H6&gt;=3, "Near-Term", "Low Priority"))</f>
        <v>Low Priority</v>
      </c>
      <c r="J6" s="18" t="s">
        <v>17</v>
      </c>
    </row>
    <row r="7" spans="1:11" x14ac:dyDescent="0.35">
      <c r="A7" s="10" t="s">
        <v>18</v>
      </c>
      <c r="B7" t="s">
        <v>19</v>
      </c>
      <c r="C7" s="17">
        <v>4</v>
      </c>
      <c r="D7" s="17">
        <v>2</v>
      </c>
      <c r="E7" s="17">
        <v>3</v>
      </c>
      <c r="F7" s="17">
        <v>4</v>
      </c>
      <c r="G7" s="17">
        <v>3</v>
      </c>
      <c r="H7" s="12">
        <f t="shared" ref="H7:H12" si="0">SUMPRODUCT($C$4:$G$4,C7:G7)</f>
        <v>3.2</v>
      </c>
      <c r="I7" s="1" t="str">
        <f t="shared" ref="I7:I12" si="1">IF(H7&gt;=4, "Quick Win", IF(H7&gt;=3, "Near-Term", "Low Priority"))</f>
        <v>Near-Term</v>
      </c>
      <c r="J7" s="19" t="s">
        <v>20</v>
      </c>
    </row>
    <row r="8" spans="1:11" x14ac:dyDescent="0.35">
      <c r="A8" s="10" t="s">
        <v>21</v>
      </c>
      <c r="B8" t="s">
        <v>22</v>
      </c>
      <c r="C8" s="17">
        <v>3</v>
      </c>
      <c r="D8" s="17">
        <v>3</v>
      </c>
      <c r="E8" s="17">
        <v>4</v>
      </c>
      <c r="F8" s="17">
        <v>3</v>
      </c>
      <c r="G8" s="17">
        <v>2</v>
      </c>
      <c r="H8" s="12">
        <f t="shared" si="0"/>
        <v>3.1000000000000005</v>
      </c>
      <c r="I8" s="1" t="str">
        <f t="shared" si="1"/>
        <v>Near-Term</v>
      </c>
      <c r="J8" s="19" t="s">
        <v>20</v>
      </c>
    </row>
    <row r="9" spans="1:11" x14ac:dyDescent="0.35">
      <c r="A9" s="10" t="s">
        <v>23</v>
      </c>
      <c r="B9" t="s">
        <v>24</v>
      </c>
      <c r="C9" s="17">
        <v>4</v>
      </c>
      <c r="D9" s="17">
        <v>4</v>
      </c>
      <c r="E9" s="17">
        <v>3</v>
      </c>
      <c r="F9" s="17">
        <v>5</v>
      </c>
      <c r="G9" s="17">
        <v>4</v>
      </c>
      <c r="H9" s="12">
        <f t="shared" si="0"/>
        <v>3.95</v>
      </c>
      <c r="I9" s="1" t="str">
        <f t="shared" si="1"/>
        <v>Near-Term</v>
      </c>
      <c r="J9" s="19" t="s">
        <v>20</v>
      </c>
    </row>
    <row r="10" spans="1:11" x14ac:dyDescent="0.35">
      <c r="A10" s="10" t="s">
        <v>25</v>
      </c>
      <c r="B10" t="s">
        <v>16</v>
      </c>
      <c r="C10" s="17">
        <v>3</v>
      </c>
      <c r="D10" s="17">
        <v>4</v>
      </c>
      <c r="E10" s="17">
        <v>3</v>
      </c>
      <c r="F10" s="17">
        <v>2</v>
      </c>
      <c r="G10" s="17">
        <v>3</v>
      </c>
      <c r="H10" s="12">
        <f t="shared" si="0"/>
        <v>3.0999999999999996</v>
      </c>
      <c r="I10" s="1" t="str">
        <f t="shared" si="1"/>
        <v>Near-Term</v>
      </c>
      <c r="J10" s="19" t="s">
        <v>20</v>
      </c>
    </row>
    <row r="11" spans="1:11" ht="58" x14ac:dyDescent="0.35">
      <c r="A11" s="10" t="s">
        <v>26</v>
      </c>
      <c r="B11" t="s">
        <v>16</v>
      </c>
      <c r="C11" s="17">
        <v>3</v>
      </c>
      <c r="D11" s="17">
        <v>4</v>
      </c>
      <c r="E11" s="17">
        <v>4</v>
      </c>
      <c r="F11" s="17">
        <v>3</v>
      </c>
      <c r="G11" s="17">
        <v>1</v>
      </c>
      <c r="H11" s="12">
        <f t="shared" si="0"/>
        <v>3.2500000000000004</v>
      </c>
      <c r="I11" s="1" t="str">
        <f t="shared" si="1"/>
        <v>Near-Term</v>
      </c>
      <c r="J11" s="18" t="s">
        <v>17</v>
      </c>
      <c r="K11" s="1" t="s">
        <v>27</v>
      </c>
    </row>
    <row r="12" spans="1:11" x14ac:dyDescent="0.35">
      <c r="A12" s="10" t="s">
        <v>28</v>
      </c>
      <c r="B12" t="s">
        <v>29</v>
      </c>
      <c r="C12" s="17">
        <v>5</v>
      </c>
      <c r="D12" s="17">
        <v>4</v>
      </c>
      <c r="E12" s="17">
        <v>5</v>
      </c>
      <c r="F12" s="17">
        <v>2</v>
      </c>
      <c r="G12" s="17">
        <v>5</v>
      </c>
      <c r="H12" s="12">
        <f t="shared" si="0"/>
        <v>4.3</v>
      </c>
      <c r="I12" s="1" t="str">
        <f t="shared" si="1"/>
        <v>Quick Win</v>
      </c>
      <c r="J12" s="20" t="s">
        <v>30</v>
      </c>
    </row>
    <row r="15" spans="1:11" x14ac:dyDescent="0.35">
      <c r="A15"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C9" sqref="C9"/>
    </sheetView>
  </sheetViews>
  <sheetFormatPr defaultRowHeight="14.5" x14ac:dyDescent="0.35"/>
  <cols>
    <col min="1" max="1" width="12.81640625" customWidth="1"/>
    <col min="2" max="2" width="89" customWidth="1"/>
    <col min="3" max="3" width="80.453125" customWidth="1"/>
  </cols>
  <sheetData>
    <row r="1" spans="1:3" ht="14.65" customHeight="1" x14ac:dyDescent="0.5">
      <c r="A1" s="38" t="s">
        <v>32</v>
      </c>
      <c r="B1" s="38"/>
    </row>
    <row r="2" spans="1:3" x14ac:dyDescent="0.35">
      <c r="A2" t="s">
        <v>33</v>
      </c>
    </row>
    <row r="4" spans="1:3" ht="32" x14ac:dyDescent="0.4">
      <c r="A4" s="3" t="s">
        <v>6</v>
      </c>
      <c r="B4" s="4" t="s">
        <v>34</v>
      </c>
    </row>
    <row r="5" spans="1:3" x14ac:dyDescent="0.35">
      <c r="A5" s="5" t="s">
        <v>35</v>
      </c>
      <c r="B5" s="6">
        <v>0.3</v>
      </c>
    </row>
    <row r="6" spans="1:3" x14ac:dyDescent="0.35">
      <c r="A6" s="7" t="s">
        <v>36</v>
      </c>
      <c r="B6" s="8" t="s">
        <v>37</v>
      </c>
    </row>
    <row r="7" spans="1:3" x14ac:dyDescent="0.35">
      <c r="A7" s="1">
        <v>1</v>
      </c>
      <c r="B7" s="2" t="s">
        <v>38</v>
      </c>
    </row>
    <row r="8" spans="1:3" x14ac:dyDescent="0.35">
      <c r="A8" s="1">
        <v>2</v>
      </c>
      <c r="B8" s="2" t="s">
        <v>39</v>
      </c>
    </row>
    <row r="9" spans="1:3" x14ac:dyDescent="0.35">
      <c r="A9" s="1">
        <v>3</v>
      </c>
      <c r="B9" s="2" t="s">
        <v>40</v>
      </c>
    </row>
    <row r="10" spans="1:3" x14ac:dyDescent="0.35">
      <c r="A10" s="1">
        <v>4</v>
      </c>
      <c r="B10" s="2" t="s">
        <v>41</v>
      </c>
    </row>
    <row r="11" spans="1:3" x14ac:dyDescent="0.35">
      <c r="A11" s="1">
        <v>5</v>
      </c>
      <c r="B11" s="2" t="s">
        <v>42</v>
      </c>
    </row>
    <row r="12" spans="1:3" x14ac:dyDescent="0.35">
      <c r="A12" s="1"/>
      <c r="B12" s="2"/>
    </row>
    <row r="13" spans="1:3" ht="29" x14ac:dyDescent="0.35">
      <c r="A13" s="9" t="s">
        <v>7</v>
      </c>
      <c r="B13" s="4" t="s">
        <v>43</v>
      </c>
    </row>
    <row r="14" spans="1:3" x14ac:dyDescent="0.35">
      <c r="A14" s="5" t="s">
        <v>35</v>
      </c>
      <c r="B14" s="6">
        <v>0.25</v>
      </c>
    </row>
    <row r="15" spans="1:3" x14ac:dyDescent="0.35">
      <c r="A15" s="7" t="s">
        <v>36</v>
      </c>
      <c r="B15" s="8" t="s">
        <v>37</v>
      </c>
    </row>
    <row r="16" spans="1:3" x14ac:dyDescent="0.35">
      <c r="A16" s="1">
        <v>1</v>
      </c>
      <c r="B16" s="2" t="s">
        <v>44</v>
      </c>
      <c r="C16" s="2"/>
    </row>
    <row r="17" spans="1:6" x14ac:dyDescent="0.35">
      <c r="A17" s="1">
        <v>2</v>
      </c>
      <c r="B17" s="2" t="s">
        <v>45</v>
      </c>
      <c r="C17" s="2"/>
    </row>
    <row r="18" spans="1:6" x14ac:dyDescent="0.35">
      <c r="A18" s="1">
        <v>3</v>
      </c>
      <c r="B18" s="2" t="s">
        <v>46</v>
      </c>
      <c r="C18" s="2"/>
    </row>
    <row r="19" spans="1:6" x14ac:dyDescent="0.35">
      <c r="A19" s="1">
        <v>4</v>
      </c>
      <c r="B19" s="2" t="s">
        <v>47</v>
      </c>
      <c r="C19" s="2"/>
    </row>
    <row r="20" spans="1:6" x14ac:dyDescent="0.35">
      <c r="A20" s="1">
        <v>5</v>
      </c>
      <c r="B20" s="2" t="s">
        <v>48</v>
      </c>
      <c r="C20" s="2"/>
    </row>
    <row r="21" spans="1:6" x14ac:dyDescent="0.35">
      <c r="A21" s="1"/>
      <c r="B21" s="2"/>
      <c r="C21" s="2"/>
    </row>
    <row r="22" spans="1:6" ht="43.5" x14ac:dyDescent="0.35">
      <c r="A22" s="9" t="s">
        <v>8</v>
      </c>
      <c r="B22" s="4" t="s">
        <v>49</v>
      </c>
    </row>
    <row r="23" spans="1:6" x14ac:dyDescent="0.35">
      <c r="A23" s="5" t="s">
        <v>35</v>
      </c>
      <c r="B23" s="6">
        <v>0.2</v>
      </c>
    </row>
    <row r="24" spans="1:6" x14ac:dyDescent="0.35">
      <c r="A24" s="7" t="s">
        <v>36</v>
      </c>
      <c r="B24" s="8" t="s">
        <v>37</v>
      </c>
    </row>
    <row r="25" spans="1:6" x14ac:dyDescent="0.35">
      <c r="A25" s="1">
        <v>1</v>
      </c>
      <c r="B25" s="2" t="s">
        <v>50</v>
      </c>
      <c r="C25" s="2"/>
    </row>
    <row r="26" spans="1:6" x14ac:dyDescent="0.35">
      <c r="A26" s="1">
        <v>2</v>
      </c>
      <c r="B26" s="2" t="s">
        <v>51</v>
      </c>
      <c r="C26" s="2"/>
    </row>
    <row r="27" spans="1:6" x14ac:dyDescent="0.35">
      <c r="A27" s="1">
        <v>3</v>
      </c>
      <c r="B27" s="2" t="s">
        <v>53</v>
      </c>
      <c r="C27" s="2"/>
    </row>
    <row r="28" spans="1:6" x14ac:dyDescent="0.35">
      <c r="A28" s="1">
        <v>4</v>
      </c>
      <c r="B28" s="2" t="s">
        <v>54</v>
      </c>
      <c r="C28" s="2"/>
    </row>
    <row r="29" spans="1:6" x14ac:dyDescent="0.35">
      <c r="A29" s="1">
        <v>5</v>
      </c>
      <c r="B29" s="2" t="s">
        <v>55</v>
      </c>
      <c r="C29" s="2"/>
    </row>
    <row r="30" spans="1:6" x14ac:dyDescent="0.35">
      <c r="A30" s="1"/>
      <c r="B30" s="2"/>
    </row>
    <row r="31" spans="1:6" ht="58" x14ac:dyDescent="0.35">
      <c r="A31" s="11" t="s">
        <v>9</v>
      </c>
      <c r="B31" s="9" t="s">
        <v>56</v>
      </c>
    </row>
    <row r="32" spans="1:6" x14ac:dyDescent="0.35">
      <c r="A32" s="5" t="s">
        <v>35</v>
      </c>
      <c r="B32" s="6">
        <v>0.15</v>
      </c>
    </row>
    <row r="33" spans="1:3" x14ac:dyDescent="0.35">
      <c r="A33" s="7" t="s">
        <v>36</v>
      </c>
      <c r="B33" s="8" t="s">
        <v>37</v>
      </c>
    </row>
    <row r="34" spans="1:3" x14ac:dyDescent="0.35">
      <c r="A34" s="1">
        <v>1</v>
      </c>
      <c r="B34" t="s">
        <v>57</v>
      </c>
      <c r="C34" s="2"/>
    </row>
    <row r="35" spans="1:3" x14ac:dyDescent="0.35">
      <c r="A35" s="1">
        <v>2</v>
      </c>
      <c r="B35" t="s">
        <v>58</v>
      </c>
      <c r="C35" s="2"/>
    </row>
    <row r="36" spans="1:3" x14ac:dyDescent="0.35">
      <c r="A36" s="1">
        <v>3</v>
      </c>
      <c r="B36" t="s">
        <v>59</v>
      </c>
      <c r="C36" s="2"/>
    </row>
    <row r="37" spans="1:3" x14ac:dyDescent="0.35">
      <c r="A37" s="1">
        <v>4</v>
      </c>
      <c r="B37" t="s">
        <v>60</v>
      </c>
      <c r="C37" s="2"/>
    </row>
    <row r="38" spans="1:3" x14ac:dyDescent="0.35">
      <c r="A38" s="1">
        <v>5</v>
      </c>
      <c r="B38" t="s">
        <v>61</v>
      </c>
      <c r="C38" s="2"/>
    </row>
    <row r="39" spans="1:3" x14ac:dyDescent="0.35">
      <c r="A39" s="1"/>
      <c r="B39" s="2"/>
    </row>
    <row r="40" spans="1:3" ht="29" x14ac:dyDescent="0.35">
      <c r="A40" s="9" t="s">
        <v>62</v>
      </c>
      <c r="B40" s="4" t="s">
        <v>63</v>
      </c>
    </row>
    <row r="41" spans="1:3" x14ac:dyDescent="0.35">
      <c r="A41" s="5" t="s">
        <v>35</v>
      </c>
      <c r="B41" s="6">
        <v>0.1</v>
      </c>
    </row>
    <row r="42" spans="1:3" x14ac:dyDescent="0.35">
      <c r="A42" s="7" t="s">
        <v>36</v>
      </c>
      <c r="B42" s="8" t="s">
        <v>37</v>
      </c>
    </row>
    <row r="43" spans="1:3" x14ac:dyDescent="0.35">
      <c r="A43" s="1">
        <v>1</v>
      </c>
      <c r="B43" s="2" t="s">
        <v>64</v>
      </c>
      <c r="C43" s="2"/>
    </row>
    <row r="44" spans="1:3" x14ac:dyDescent="0.35">
      <c r="A44" s="1">
        <v>2</v>
      </c>
      <c r="B44" s="2" t="s">
        <v>65</v>
      </c>
      <c r="C44" s="2"/>
    </row>
    <row r="45" spans="1:3" x14ac:dyDescent="0.35">
      <c r="A45" s="1">
        <v>3</v>
      </c>
      <c r="B45" s="2" t="s">
        <v>66</v>
      </c>
      <c r="C45" s="2"/>
    </row>
    <row r="46" spans="1:3" x14ac:dyDescent="0.35">
      <c r="A46" s="1">
        <v>4</v>
      </c>
      <c r="B46" s="2" t="s">
        <v>67</v>
      </c>
      <c r="C46" s="2"/>
    </row>
    <row r="47" spans="1:3" x14ac:dyDescent="0.35">
      <c r="A47" s="1">
        <v>5</v>
      </c>
      <c r="B47" s="2" t="s">
        <v>68</v>
      </c>
      <c r="C47"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8"/>
  <sheetViews>
    <sheetView workbookViewId="0">
      <selection activeCell="D8" sqref="D8"/>
    </sheetView>
  </sheetViews>
  <sheetFormatPr defaultRowHeight="14.5" x14ac:dyDescent="0.35"/>
  <cols>
    <col min="1" max="1" width="27" customWidth="1"/>
    <col min="2" max="2" width="30" customWidth="1"/>
    <col min="3" max="3" width="10" customWidth="1"/>
    <col min="4" max="4" width="92" customWidth="1"/>
  </cols>
  <sheetData>
    <row r="1" spans="1:4" ht="16.649999999999999" customHeight="1" x14ac:dyDescent="0.35">
      <c r="A1" s="35" t="s">
        <v>69</v>
      </c>
      <c r="B1" s="35"/>
      <c r="C1" s="35"/>
      <c r="D1" s="35"/>
    </row>
    <row r="2" spans="1:4" ht="21.4" customHeight="1" x14ac:dyDescent="0.35">
      <c r="A2" s="34" t="s">
        <v>70</v>
      </c>
      <c r="B2" s="34"/>
      <c r="C2" s="34"/>
      <c r="D2" s="34"/>
    </row>
    <row r="3" spans="1:4" ht="16.649999999999999" customHeight="1" x14ac:dyDescent="0.35">
      <c r="A3" s="21" t="s">
        <v>4</v>
      </c>
      <c r="B3" s="21" t="s">
        <v>71</v>
      </c>
      <c r="C3" s="21" t="s">
        <v>36</v>
      </c>
      <c r="D3" s="21" t="s">
        <v>72</v>
      </c>
    </row>
    <row r="4" spans="1:4" ht="34.65" customHeight="1" x14ac:dyDescent="0.35">
      <c r="A4" s="26" t="s">
        <v>73</v>
      </c>
      <c r="B4" s="27" t="s">
        <v>74</v>
      </c>
      <c r="C4" s="28">
        <v>3</v>
      </c>
      <c r="D4" s="29" t="s">
        <v>75</v>
      </c>
    </row>
    <row r="5" spans="1:4" ht="34.65" customHeight="1" x14ac:dyDescent="0.35">
      <c r="A5" s="23"/>
      <c r="B5" s="24" t="s">
        <v>76</v>
      </c>
      <c r="C5" s="25">
        <v>2</v>
      </c>
      <c r="D5" s="22" t="s">
        <v>77</v>
      </c>
    </row>
    <row r="6" spans="1:4" ht="34.65" customHeight="1" x14ac:dyDescent="0.35">
      <c r="A6" s="23"/>
      <c r="B6" s="24" t="s">
        <v>78</v>
      </c>
      <c r="C6" s="25">
        <v>4</v>
      </c>
      <c r="D6" s="22" t="s">
        <v>79</v>
      </c>
    </row>
    <row r="7" spans="1:4" ht="34.65" customHeight="1" x14ac:dyDescent="0.35">
      <c r="A7" s="23"/>
      <c r="B7" s="24" t="s">
        <v>80</v>
      </c>
      <c r="C7" s="25">
        <v>2</v>
      </c>
      <c r="D7" s="22" t="s">
        <v>81</v>
      </c>
    </row>
    <row r="8" spans="1:4" ht="34.65" customHeight="1" x14ac:dyDescent="0.35">
      <c r="A8" s="23"/>
      <c r="B8" s="24" t="s">
        <v>82</v>
      </c>
      <c r="C8" s="25">
        <v>4</v>
      </c>
      <c r="D8" s="22" t="s">
        <v>83</v>
      </c>
    </row>
    <row r="9" spans="1:4" ht="34.65" customHeight="1" x14ac:dyDescent="0.35">
      <c r="A9" s="26" t="s">
        <v>18</v>
      </c>
      <c r="B9" s="27" t="s">
        <v>74</v>
      </c>
      <c r="C9" s="28">
        <v>4</v>
      </c>
      <c r="D9" s="29" t="s">
        <v>84</v>
      </c>
    </row>
    <row r="10" spans="1:4" ht="34.65" customHeight="1" x14ac:dyDescent="0.35">
      <c r="A10" s="23"/>
      <c r="B10" s="24" t="s">
        <v>76</v>
      </c>
      <c r="C10" s="25">
        <v>2</v>
      </c>
      <c r="D10" s="22" t="s">
        <v>85</v>
      </c>
    </row>
    <row r="11" spans="1:4" ht="34.65" customHeight="1" x14ac:dyDescent="0.35">
      <c r="A11" s="23"/>
      <c r="B11" s="24" t="s">
        <v>78</v>
      </c>
      <c r="C11" s="25">
        <v>3</v>
      </c>
      <c r="D11" s="22" t="s">
        <v>86</v>
      </c>
    </row>
    <row r="12" spans="1:4" ht="34.65" customHeight="1" x14ac:dyDescent="0.35">
      <c r="A12" s="23"/>
      <c r="B12" s="24" t="s">
        <v>80</v>
      </c>
      <c r="C12" s="25">
        <v>4</v>
      </c>
      <c r="D12" s="22" t="s">
        <v>87</v>
      </c>
    </row>
    <row r="13" spans="1:4" ht="34.65" customHeight="1" x14ac:dyDescent="0.35">
      <c r="A13" s="23"/>
      <c r="B13" s="24" t="s">
        <v>82</v>
      </c>
      <c r="C13" s="25">
        <v>3</v>
      </c>
      <c r="D13" s="22" t="s">
        <v>88</v>
      </c>
    </row>
    <row r="14" spans="1:4" ht="34.65" customHeight="1" x14ac:dyDescent="0.35">
      <c r="A14" s="26" t="s">
        <v>21</v>
      </c>
      <c r="B14" s="27" t="s">
        <v>74</v>
      </c>
      <c r="C14" s="28">
        <v>3</v>
      </c>
      <c r="D14" s="29" t="s">
        <v>89</v>
      </c>
    </row>
    <row r="15" spans="1:4" ht="34.65" customHeight="1" x14ac:dyDescent="0.35">
      <c r="A15" s="23"/>
      <c r="B15" s="24" t="s">
        <v>76</v>
      </c>
      <c r="C15" s="25">
        <v>3</v>
      </c>
      <c r="D15" s="22" t="s">
        <v>90</v>
      </c>
    </row>
    <row r="16" spans="1:4" ht="34.65" customHeight="1" x14ac:dyDescent="0.35">
      <c r="A16" s="23"/>
      <c r="B16" s="24" t="s">
        <v>78</v>
      </c>
      <c r="C16" s="25">
        <v>4</v>
      </c>
      <c r="D16" s="22" t="s">
        <v>91</v>
      </c>
    </row>
    <row r="17" spans="1:4" ht="34.65" customHeight="1" x14ac:dyDescent="0.35">
      <c r="A17" s="23"/>
      <c r="B17" s="24" t="s">
        <v>80</v>
      </c>
      <c r="C17" s="25">
        <v>3</v>
      </c>
      <c r="D17" s="22" t="s">
        <v>92</v>
      </c>
    </row>
    <row r="18" spans="1:4" ht="34.65" customHeight="1" x14ac:dyDescent="0.35">
      <c r="A18" s="23"/>
      <c r="B18" s="24" t="s">
        <v>82</v>
      </c>
      <c r="C18" s="25">
        <v>2</v>
      </c>
      <c r="D18" s="22" t="s">
        <v>93</v>
      </c>
    </row>
    <row r="19" spans="1:4" ht="34.65" customHeight="1" x14ac:dyDescent="0.35">
      <c r="A19" s="26" t="s">
        <v>23</v>
      </c>
      <c r="B19" s="27" t="s">
        <v>74</v>
      </c>
      <c r="C19" s="28">
        <v>4</v>
      </c>
      <c r="D19" s="29" t="s">
        <v>94</v>
      </c>
    </row>
    <row r="20" spans="1:4" ht="34.65" customHeight="1" x14ac:dyDescent="0.35">
      <c r="A20" s="23"/>
      <c r="B20" s="24" t="s">
        <v>76</v>
      </c>
      <c r="C20" s="25">
        <v>4</v>
      </c>
      <c r="D20" s="22" t="s">
        <v>95</v>
      </c>
    </row>
    <row r="21" spans="1:4" ht="34.65" customHeight="1" x14ac:dyDescent="0.35">
      <c r="A21" s="23"/>
      <c r="B21" s="24" t="s">
        <v>78</v>
      </c>
      <c r="C21" s="25">
        <v>3</v>
      </c>
      <c r="D21" s="22" t="s">
        <v>96</v>
      </c>
    </row>
    <row r="22" spans="1:4" ht="34.65" customHeight="1" x14ac:dyDescent="0.35">
      <c r="A22" s="23"/>
      <c r="B22" s="24" t="s">
        <v>80</v>
      </c>
      <c r="C22" s="25">
        <v>5</v>
      </c>
      <c r="D22" s="22" t="s">
        <v>97</v>
      </c>
    </row>
    <row r="23" spans="1:4" ht="34.65" customHeight="1" x14ac:dyDescent="0.35">
      <c r="A23" s="23"/>
      <c r="B23" s="24" t="s">
        <v>82</v>
      </c>
      <c r="C23" s="25">
        <v>4</v>
      </c>
      <c r="D23" s="22" t="s">
        <v>98</v>
      </c>
    </row>
    <row r="24" spans="1:4" ht="34.65" customHeight="1" x14ac:dyDescent="0.35">
      <c r="A24" s="26" t="s">
        <v>25</v>
      </c>
      <c r="B24" s="27" t="s">
        <v>74</v>
      </c>
      <c r="C24" s="28">
        <v>3</v>
      </c>
      <c r="D24" s="29" t="s">
        <v>99</v>
      </c>
    </row>
    <row r="25" spans="1:4" ht="34.65" customHeight="1" x14ac:dyDescent="0.35">
      <c r="A25" s="23"/>
      <c r="B25" s="24" t="s">
        <v>76</v>
      </c>
      <c r="C25" s="25">
        <v>4</v>
      </c>
      <c r="D25" s="22" t="s">
        <v>100</v>
      </c>
    </row>
    <row r="26" spans="1:4" ht="34.65" customHeight="1" x14ac:dyDescent="0.35">
      <c r="A26" s="23"/>
      <c r="B26" s="24" t="s">
        <v>78</v>
      </c>
      <c r="C26" s="25">
        <v>3</v>
      </c>
      <c r="D26" s="22" t="s">
        <v>101</v>
      </c>
    </row>
    <row r="27" spans="1:4" ht="34.65" customHeight="1" x14ac:dyDescent="0.35">
      <c r="A27" s="23"/>
      <c r="B27" s="24" t="s">
        <v>80</v>
      </c>
      <c r="C27" s="25">
        <v>2</v>
      </c>
      <c r="D27" s="22" t="s">
        <v>102</v>
      </c>
    </row>
    <row r="28" spans="1:4" ht="34.65" customHeight="1" x14ac:dyDescent="0.35">
      <c r="A28" s="23"/>
      <c r="B28" s="24" t="s">
        <v>82</v>
      </c>
      <c r="C28" s="25">
        <v>3</v>
      </c>
      <c r="D28" s="22" t="s">
        <v>103</v>
      </c>
    </row>
    <row r="29" spans="1:4" ht="34.65" customHeight="1" x14ac:dyDescent="0.35">
      <c r="A29" s="26" t="s">
        <v>104</v>
      </c>
      <c r="B29" s="27" t="s">
        <v>74</v>
      </c>
      <c r="C29" s="28">
        <v>3</v>
      </c>
      <c r="D29" s="29" t="s">
        <v>105</v>
      </c>
    </row>
    <row r="30" spans="1:4" ht="34.65" customHeight="1" x14ac:dyDescent="0.35">
      <c r="A30" s="23"/>
      <c r="B30" s="24" t="s">
        <v>76</v>
      </c>
      <c r="C30" s="25">
        <v>4</v>
      </c>
      <c r="D30" s="22" t="s">
        <v>106</v>
      </c>
    </row>
    <row r="31" spans="1:4" ht="34.65" customHeight="1" x14ac:dyDescent="0.35">
      <c r="A31" s="23"/>
      <c r="B31" s="24" t="s">
        <v>78</v>
      </c>
      <c r="C31" s="25">
        <v>4</v>
      </c>
      <c r="D31" s="22" t="s">
        <v>107</v>
      </c>
    </row>
    <row r="32" spans="1:4" ht="34.65" customHeight="1" x14ac:dyDescent="0.35">
      <c r="A32" s="23"/>
      <c r="B32" s="24" t="s">
        <v>80</v>
      </c>
      <c r="C32" s="25">
        <v>3</v>
      </c>
      <c r="D32" s="22" t="s">
        <v>108</v>
      </c>
    </row>
    <row r="33" spans="1:4" ht="34.65" customHeight="1" x14ac:dyDescent="0.35">
      <c r="A33" s="23"/>
      <c r="B33" s="24" t="s">
        <v>82</v>
      </c>
      <c r="C33" s="25">
        <v>1</v>
      </c>
      <c r="D33" s="22" t="s">
        <v>109</v>
      </c>
    </row>
    <row r="34" spans="1:4" ht="34.65" customHeight="1" x14ac:dyDescent="0.35">
      <c r="A34" s="26" t="s">
        <v>28</v>
      </c>
      <c r="B34" s="27" t="s">
        <v>74</v>
      </c>
      <c r="C34" s="28">
        <v>5</v>
      </c>
      <c r="D34" s="29" t="s">
        <v>110</v>
      </c>
    </row>
    <row r="35" spans="1:4" ht="34.65" customHeight="1" x14ac:dyDescent="0.35">
      <c r="A35" s="23"/>
      <c r="B35" s="24" t="s">
        <v>76</v>
      </c>
      <c r="C35" s="25">
        <v>4</v>
      </c>
      <c r="D35" s="22" t="s">
        <v>111</v>
      </c>
    </row>
    <row r="36" spans="1:4" ht="34.65" customHeight="1" x14ac:dyDescent="0.35">
      <c r="A36" s="23"/>
      <c r="B36" s="24" t="s">
        <v>78</v>
      </c>
      <c r="C36" s="25">
        <v>5</v>
      </c>
      <c r="D36" s="22" t="s">
        <v>112</v>
      </c>
    </row>
    <row r="37" spans="1:4" ht="34.65" customHeight="1" x14ac:dyDescent="0.35">
      <c r="A37" s="23"/>
      <c r="B37" s="24" t="s">
        <v>80</v>
      </c>
      <c r="C37" s="25">
        <v>2</v>
      </c>
      <c r="D37" s="22" t="s">
        <v>113</v>
      </c>
    </row>
    <row r="38" spans="1:4" ht="34.65" customHeight="1" x14ac:dyDescent="0.35">
      <c r="A38" s="30"/>
      <c r="B38" s="31" t="s">
        <v>82</v>
      </c>
      <c r="C38" s="32">
        <v>5</v>
      </c>
      <c r="D38" s="33" t="s">
        <v>114</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Scored Matrix</vt:lpstr>
      <vt:lpstr>Anchor Rubric</vt:lpstr>
      <vt:lpstr>Score Rationale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Biroc</cp:lastModifiedBy>
  <dcterms:modified xsi:type="dcterms:W3CDTF">2026-10-06T16:05:49Z</dcterms:modified>
</cp:coreProperties>
</file>